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US &amp; International Scholarships" sheetId="1" r:id="rId4"/>
    <sheet state="visible" name="UK&amp; International Government Sc" sheetId="2" r:id="rId5"/>
  </sheets>
  <definedNames/>
  <calcPr/>
</workbook>
</file>

<file path=xl/sharedStrings.xml><?xml version="1.0" encoding="utf-8"?>
<sst xmlns="http://schemas.openxmlformats.org/spreadsheetml/2006/main" count="340" uniqueCount="211">
  <si>
    <t>Scholarship Name</t>
  </si>
  <si>
    <t>College/University</t>
  </si>
  <si>
    <t>Country</t>
  </si>
  <si>
    <t>Type</t>
  </si>
  <si>
    <t>How Much</t>
  </si>
  <si>
    <t>Deadline</t>
  </si>
  <si>
    <t>No additional application</t>
  </si>
  <si>
    <t>The Trailblazer Scholarship</t>
  </si>
  <si>
    <t>Agnes Scott College</t>
  </si>
  <si>
    <t xml:space="preserve">United States </t>
  </si>
  <si>
    <t>Merit</t>
  </si>
  <si>
    <t>$25,000/yr</t>
  </si>
  <si>
    <t>Center for Women’s Entrepreneurial Leadership Scholarship</t>
  </si>
  <si>
    <t>Babson College</t>
  </si>
  <si>
    <t>25% off of tuition/year</t>
  </si>
  <si>
    <t>Gabelli Presidential Scholars</t>
  </si>
  <si>
    <t>Boston College</t>
  </si>
  <si>
    <t>Full tuition, merit</t>
  </si>
  <si>
    <t>11/1 EA</t>
  </si>
  <si>
    <t>BU Trustee Scholarship</t>
  </si>
  <si>
    <t>Boston University</t>
  </si>
  <si>
    <t xml:space="preserve">Merit  </t>
  </si>
  <si>
    <t>Full Tuition - Undergraduate + Undergrad Fees</t>
  </si>
  <si>
    <t>Wien Scholarship</t>
  </si>
  <si>
    <t>Brandeis University</t>
  </si>
  <si>
    <t>Merit/Need based</t>
  </si>
  <si>
    <t>Full</t>
  </si>
  <si>
    <t>X</t>
  </si>
  <si>
    <t>Brown Fellows Program</t>
  </si>
  <si>
    <t>Centre College</t>
  </si>
  <si>
    <t>Full tuition</t>
  </si>
  <si>
    <t>Nomination not required to apply</t>
  </si>
  <si>
    <t>Lincoln Scholars Program</t>
  </si>
  <si>
    <t xml:space="preserve">Full-cost plus </t>
  </si>
  <si>
    <t>United States</t>
  </si>
  <si>
    <t>Must be first-gen US citizen. Nomination not required to apply</t>
  </si>
  <si>
    <t>Chinese University of Hong Kong, Shenzhen</t>
  </si>
  <si>
    <t>Hong Kong</t>
  </si>
  <si>
    <t>Full-tuition &amp; accomodations (10 students)</t>
  </si>
  <si>
    <t>Kings Scholar</t>
  </si>
  <si>
    <t>Dartmouth</t>
  </si>
  <si>
    <t>Need based for minorities/students from impoverished nations</t>
  </si>
  <si>
    <t xml:space="preserve">Full </t>
  </si>
  <si>
    <t>n/a (upon submission of Common app)</t>
  </si>
  <si>
    <t>John Belk Scholarship</t>
  </si>
  <si>
    <t>Davidson College</t>
  </si>
  <si>
    <t>comprehensive funding (tuition, fees, room and board) plus special study stipends that allow you great flexibility in the on- and off-campus opportunities you choose to explore.</t>
  </si>
  <si>
    <t>11/10 nomination deadline</t>
  </si>
  <si>
    <t>Bryan Scholarship</t>
  </si>
  <si>
    <t xml:space="preserve">Sports </t>
  </si>
  <si>
    <t>full tuition</t>
  </si>
  <si>
    <t>late sept nomination, application by Oct 15th</t>
  </si>
  <si>
    <t>Karsh Scholarship</t>
  </si>
  <si>
    <t xml:space="preserve">Duke  </t>
  </si>
  <si>
    <t>Need/merit based for international students</t>
  </si>
  <si>
    <t xml:space="preserve">Full + </t>
  </si>
  <si>
    <t>Reg. Decision</t>
  </si>
  <si>
    <t>Robertson Scholars Leadership Program</t>
  </si>
  <si>
    <t>Duke / UNC</t>
  </si>
  <si>
    <t>Key Award</t>
  </si>
  <si>
    <t>Elmira College</t>
  </si>
  <si>
    <t>USD 20,000</t>
  </si>
  <si>
    <t>If a Key Award winner is eligible for a merit scholarship of a greater value at the time of admission to Elmira College, that scholarship supersedes the Elmira College Key Award. Each student you nominate should have a minimum academic grade point average of 3.0 (4.0 scale), demonstrate outstanding school and community leadership, and have an interest in an academic program offered by Elmira College.</t>
  </si>
  <si>
    <t>Oxford &amp; Goizueta Scholarships</t>
  </si>
  <si>
    <t>Emory University</t>
  </si>
  <si>
    <t>1/2 to full tuition + study abroad</t>
  </si>
  <si>
    <t>Fairleigh Dickinson U</t>
  </si>
  <si>
    <t>Fairleigh Dickinson University</t>
  </si>
  <si>
    <t>Partial tuition</t>
  </si>
  <si>
    <t>FIRST Robotics Scholarship</t>
  </si>
  <si>
    <t>Harvey Mudd College</t>
  </si>
  <si>
    <t>$10k/ year</t>
  </si>
  <si>
    <t>High Point University</t>
  </si>
  <si>
    <t>USD 2500</t>
  </si>
  <si>
    <t>Global Commitment Scholarship</t>
  </si>
  <si>
    <t>Hollins College</t>
  </si>
  <si>
    <t>Full tuition for 5 int'l students</t>
  </si>
  <si>
    <t>International Presidential Scholarship</t>
  </si>
  <si>
    <t>Huron at Western University</t>
  </si>
  <si>
    <t>Canada</t>
  </si>
  <si>
    <t>CAD 25,000</t>
  </si>
  <si>
    <t>Indiana University Bloomington</t>
  </si>
  <si>
    <t>Full-ride</t>
  </si>
  <si>
    <t>Students can self-nominate high school is not eligible to nominate.</t>
  </si>
  <si>
    <t>Bremer Landesbank Stiftung</t>
  </si>
  <si>
    <t>Jacobs University</t>
  </si>
  <si>
    <t>Germany</t>
  </si>
  <si>
    <t>Full-tuition</t>
  </si>
  <si>
    <t>x</t>
  </si>
  <si>
    <t>NCH Scholarship</t>
  </si>
  <si>
    <t>New College of the Humanities</t>
  </si>
  <si>
    <t xml:space="preserve">United Kingdom </t>
  </si>
  <si>
    <t>GBP 2000</t>
  </si>
  <si>
    <t>Must be a nominating school.</t>
  </si>
  <si>
    <t>North Carolina State University</t>
  </si>
  <si>
    <t>Students can self-nominate. Must be US citizen or PR.</t>
  </si>
  <si>
    <t>Northeastern University</t>
  </si>
  <si>
    <t>Unclear.</t>
  </si>
  <si>
    <t>Must be first-gen US citizen or PR from low-income household.</t>
  </si>
  <si>
    <t>NYU Abu Dhabi</t>
  </si>
  <si>
    <t>UAE</t>
  </si>
  <si>
    <t>Full-need</t>
  </si>
  <si>
    <t>Nomination is not required to apply, but is considered.</t>
  </si>
  <si>
    <t>Queen's University</t>
  </si>
  <si>
    <t>CAD 36,000</t>
  </si>
  <si>
    <t>Rennselaer Polytechnic Institute</t>
  </si>
  <si>
    <t>USD 25,000</t>
  </si>
  <si>
    <t>Computing Medal</t>
  </si>
  <si>
    <t>Rochester Institute of Technology</t>
  </si>
  <si>
    <t>USD 8000</t>
  </si>
  <si>
    <t>Can nominate one male and one female student</t>
  </si>
  <si>
    <t>Innovation and Creativity Award</t>
  </si>
  <si>
    <t>Alfond Scholars Program</t>
  </si>
  <si>
    <t>Rollins College</t>
  </si>
  <si>
    <t>Full (no travel)</t>
  </si>
  <si>
    <t>Distinguished Scholars Award</t>
  </si>
  <si>
    <t>Savannah College of Art &amp; Design</t>
  </si>
  <si>
    <t xml:space="preserve">GPA of 3.75, leadership, outstanding talent. To nominate a student, email the following information to nomination@scad.edu: Student's name, Institution name/city/country, Your name and position, Brief statement (100 words or less) explaining why you are nominating the student </t>
  </si>
  <si>
    <t>Frances Larkin McCommon Scholarship</t>
  </si>
  <si>
    <t>Must demonstrate superior artistic achievement</t>
  </si>
  <si>
    <t>May and Paul Poetter Scholarship</t>
  </si>
  <si>
    <t>Must demonstrate superior academic achievement</t>
  </si>
  <si>
    <t>Kotzen Scholarship</t>
  </si>
  <si>
    <t>Simmons College</t>
  </si>
  <si>
    <t>Full/4yr/Additonal $3K per year</t>
  </si>
  <si>
    <t>St. Michael's College</t>
  </si>
  <si>
    <t>Up to full-tuition</t>
  </si>
  <si>
    <t>Stetson University</t>
  </si>
  <si>
    <t>The Sage Colleges</t>
  </si>
  <si>
    <t>USD 10,000</t>
  </si>
  <si>
    <t>Must be US citizen</t>
  </si>
  <si>
    <t>International Leaders of Tomorrow &amp; Donald A Wehrung</t>
  </si>
  <si>
    <t>University of British Columbia</t>
  </si>
  <si>
    <t>Merit/Need based/Int'l Students only.</t>
  </si>
  <si>
    <t>Full / Meet 100% of need</t>
  </si>
  <si>
    <t>Full need</t>
  </si>
  <si>
    <t>Vice Chancellor's International Undergraduate Excellence Scholarships</t>
  </si>
  <si>
    <t>University of East Anglia</t>
  </si>
  <si>
    <t>UK</t>
  </si>
  <si>
    <t>25-50% tuition</t>
  </si>
  <si>
    <t>June 22 (but apply earlier!)</t>
  </si>
  <si>
    <t>HeforShe IMPACT Champion Scholarships</t>
  </si>
  <si>
    <t>University of Hong Kong</t>
  </si>
  <si>
    <t>Full tuition + allowance</t>
  </si>
  <si>
    <t>HKU Belt and Road Scholarships</t>
  </si>
  <si>
    <t>Hon Pin Entrance Scholarship for Nigerian Students</t>
  </si>
  <si>
    <t>HKU Scholarship for Future Leaders</t>
  </si>
  <si>
    <t>University of Maryland - College Park</t>
  </si>
  <si>
    <t>Full-tuition,room, board</t>
  </si>
  <si>
    <t>University of Maryland, Baltimore County</t>
  </si>
  <si>
    <t>USD 10-22,000</t>
  </si>
  <si>
    <t>Maroon or Gold Scholarship</t>
  </si>
  <si>
    <t>University of Minnesota, Twin Cities</t>
  </si>
  <si>
    <t>Merit - automatic consideration, but we can write Jenny Mealey to ask about a student getting a scholarship</t>
  </si>
  <si>
    <t>Good for in-state tuition</t>
  </si>
  <si>
    <t>Rolling admissions (earlier the better)</t>
  </si>
  <si>
    <t>Levine Scholarship</t>
  </si>
  <si>
    <t>University of North Carolina - Charlotte</t>
  </si>
  <si>
    <t>Full, no travel</t>
  </si>
  <si>
    <t>10/8 - nomination</t>
  </si>
  <si>
    <t>Must be a US citizen or PR</t>
  </si>
  <si>
    <t>University of North Carolina, Chapel Hill</t>
  </si>
  <si>
    <t>Must be a nominating school. Students can self-nominate if they apply early.</t>
  </si>
  <si>
    <t>Richmond Scholars Program</t>
  </si>
  <si>
    <t>University of Richmond</t>
  </si>
  <si>
    <t>Full-tuition (25 students)</t>
  </si>
  <si>
    <t>University of Rochester</t>
  </si>
  <si>
    <t>Getting the award doesn't guarantee selection for scholarship</t>
  </si>
  <si>
    <t>University of Toronto</t>
  </si>
  <si>
    <t>School Nomination submitted by 11/30</t>
  </si>
  <si>
    <t>Acad. Excellence and Outstanding Leadership</t>
  </si>
  <si>
    <t>University of Tulsa</t>
  </si>
  <si>
    <t>Nomination form available upon request</t>
  </si>
  <si>
    <t>University of Virginia</t>
  </si>
  <si>
    <t>Dec. 1 Nomination</t>
  </si>
  <si>
    <t>Hesburgh-Yusko Scholars Program</t>
  </si>
  <si>
    <t>Universtiy of Notre Dame</t>
  </si>
  <si>
    <t>Merit - Demonstrated Leadership Ability, Distinguished Academic Achievement, Sincere Commitment to Service and Exemplary Moral Character</t>
  </si>
  <si>
    <t>4 years X $25,000 $100,000 total</t>
  </si>
  <si>
    <t>?</t>
  </si>
  <si>
    <t>Ingram/Chancellors/Cornelius</t>
  </si>
  <si>
    <t>Vanderbilt Univ</t>
  </si>
  <si>
    <t>Full tuition + study abroad + additional $ based on need</t>
  </si>
  <si>
    <t>Villanova University</t>
  </si>
  <si>
    <t>Wagner</t>
  </si>
  <si>
    <t xml:space="preserve">Full tuition </t>
  </si>
  <si>
    <t>Milepost One</t>
  </si>
  <si>
    <t>Warren Wilson College</t>
  </si>
  <si>
    <t>Merit &amp; Need-based</t>
  </si>
  <si>
    <t>W&amp;J Thrive Scholarship</t>
  </si>
  <si>
    <t>Washington &amp; Jefferson</t>
  </si>
  <si>
    <t>Full-tuition (and lower ones)</t>
  </si>
  <si>
    <t>Danfourth</t>
  </si>
  <si>
    <t>WashU St. Louis</t>
  </si>
  <si>
    <t>11/15 - Nominations</t>
  </si>
  <si>
    <t>Annika Rodriguez</t>
  </si>
  <si>
    <t>Full/partial tuition</t>
  </si>
  <si>
    <t>Honary Scholars in Arts/Sci</t>
  </si>
  <si>
    <t>Freeman Asian Scholarship</t>
  </si>
  <si>
    <t>Wesleyan Univ</t>
  </si>
  <si>
    <t>Wofford College</t>
  </si>
  <si>
    <t>USD 10,000 and up</t>
  </si>
  <si>
    <t>York University</t>
  </si>
  <si>
    <t>CAD 20,000</t>
  </si>
  <si>
    <t>CAD 15,000</t>
  </si>
  <si>
    <t>CAD 35,000</t>
  </si>
  <si>
    <t>Presidential Fellows</t>
  </si>
  <si>
    <t>Miami University, Oxford</t>
  </si>
  <si>
    <t>Full or half</t>
  </si>
  <si>
    <t>https://www.scholars4dev.com/1892/government-scholarships-for-developing-countries/</t>
  </si>
  <si>
    <t>https://www.scholars4dev.com/5642/scholarships-in-uk-for-international-students/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</si>
</sst>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mmmm d"/>
    <numFmt numFmtId="165" formatCode="m/d"/>
    <numFmt numFmtId="166" formatCode="mmm d"/>
  </numFmts>
  <fonts count="13">
    <font>
      <sz val="10.0"/>
      <color rgb="FF000000"/>
      <name val="Arial"/>
      <scheme val="minor"/>
    </font>
    <font>
      <b/>
      <u/>
      <sz val="11.0"/>
      <color theme="1"/>
      <name val="Roboto"/>
    </font>
    <font>
      <b/>
      <u/>
      <sz val="11.0"/>
      <color theme="1"/>
      <name val="Roboto"/>
    </font>
    <font>
      <b/>
      <u/>
      <sz val="11.0"/>
      <color theme="1"/>
      <name val="Roboto"/>
    </font>
    <font>
      <u/>
      <sz val="11.0"/>
      <color rgb="FF0000FF"/>
      <name val="Roboto"/>
    </font>
    <font>
      <sz val="11.0"/>
      <color theme="1"/>
      <name val="Roboto"/>
    </font>
    <font>
      <color theme="1"/>
      <name val="Arial"/>
    </font>
    <font>
      <sz val="11.0"/>
      <color rgb="FF0000FF"/>
      <name val="Roboto"/>
    </font>
    <font>
      <u/>
      <sz val="11.0"/>
      <color rgb="FF0000FF"/>
      <name val="Roboto"/>
    </font>
    <font>
      <u/>
      <sz val="11.0"/>
      <color rgb="FF0000FF"/>
      <name val="Arial"/>
    </font>
    <font>
      <sz val="11.0"/>
      <color theme="1"/>
      <name val="Arial"/>
    </font>
    <font>
      <u/>
      <color rgb="FF0000FF"/>
    </font>
    <font>
      <u/>
      <color rgb="FF0000FF"/>
      <name val="Arial"/>
    </font>
  </fonts>
  <fills count="5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  <fill>
      <patternFill patternType="solid">
        <fgColor rgb="FFF3F3F3"/>
        <bgColor rgb="FFF3F3F3"/>
      </patternFill>
    </fill>
    <fill>
      <patternFill patternType="solid">
        <fgColor rgb="FFFFFFFF"/>
        <bgColor rgb="FFFFFFFF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2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wrapText="1"/>
    </xf>
    <xf borderId="2" fillId="2" fontId="2" numFmtId="0" xfId="0" applyAlignment="1" applyBorder="1" applyFont="1">
      <alignment shrinkToFit="0" wrapText="1"/>
    </xf>
    <xf borderId="2" fillId="2" fontId="3" numFmtId="0" xfId="0" applyAlignment="1" applyBorder="1" applyFont="1">
      <alignment horizontal="center" shrinkToFit="0" wrapText="1"/>
    </xf>
    <xf borderId="3" fillId="3" fontId="4" numFmtId="0" xfId="0" applyAlignment="1" applyBorder="1" applyFill="1" applyFont="1">
      <alignment shrinkToFit="0" wrapText="1"/>
    </xf>
    <xf borderId="4" fillId="0" fontId="5" numFmtId="0" xfId="0" applyAlignment="1" applyBorder="1" applyFont="1">
      <alignment shrinkToFit="0" wrapText="1"/>
    </xf>
    <xf borderId="4" fillId="0" fontId="5" numFmtId="0" xfId="0" applyBorder="1" applyFont="1"/>
    <xf borderId="4" fillId="0" fontId="5" numFmtId="164" xfId="0" applyAlignment="1" applyBorder="1" applyFont="1" applyNumberFormat="1">
      <alignment shrinkToFit="0" wrapText="1"/>
    </xf>
    <xf borderId="4" fillId="0" fontId="6" numFmtId="0" xfId="0" applyBorder="1" applyFont="1"/>
    <xf borderId="3" fillId="3" fontId="7" numFmtId="0" xfId="0" applyAlignment="1" applyBorder="1" applyFont="1">
      <alignment shrinkToFit="0" wrapText="1"/>
    </xf>
    <xf borderId="3" fillId="3" fontId="8" numFmtId="0" xfId="0" applyBorder="1" applyFont="1"/>
    <xf borderId="3" fillId="3" fontId="9" numFmtId="0" xfId="0" applyBorder="1" applyFont="1"/>
    <xf borderId="4" fillId="0" fontId="10" numFmtId="0" xfId="0" applyBorder="1" applyFont="1"/>
    <xf borderId="4" fillId="0" fontId="10" numFmtId="0" xfId="0" applyAlignment="1" applyBorder="1" applyFont="1">
      <alignment shrinkToFit="0" wrapText="1"/>
    </xf>
    <xf borderId="4" fillId="4" fontId="5" numFmtId="0" xfId="0" applyAlignment="1" applyBorder="1" applyFill="1" applyFont="1">
      <alignment shrinkToFit="0" wrapText="1"/>
    </xf>
    <xf borderId="4" fillId="0" fontId="5" numFmtId="165" xfId="0" applyAlignment="1" applyBorder="1" applyFont="1" applyNumberFormat="1">
      <alignment shrinkToFit="0" wrapText="1"/>
    </xf>
    <xf borderId="4" fillId="0" fontId="5" numFmtId="3" xfId="0" applyBorder="1" applyFont="1" applyNumberFormat="1"/>
    <xf borderId="4" fillId="0" fontId="5" numFmtId="3" xfId="0" applyAlignment="1" applyBorder="1" applyFont="1" applyNumberFormat="1">
      <alignment shrinkToFit="0" wrapText="1"/>
    </xf>
    <xf borderId="4" fillId="0" fontId="5" numFmtId="166" xfId="0" applyAlignment="1" applyBorder="1" applyFont="1" applyNumberFormat="1">
      <alignment shrinkToFit="0" wrapText="1"/>
    </xf>
    <xf borderId="3" fillId="3" fontId="7" numFmtId="0" xfId="0" applyBorder="1" applyFont="1"/>
    <xf borderId="4" fillId="4" fontId="5" numFmtId="0" xfId="0" applyBorder="1" applyFont="1"/>
    <xf borderId="4" fillId="0" fontId="5" numFmtId="0" xfId="0" applyAlignment="1" applyBorder="1" applyFont="1">
      <alignment horizontal="center" shrinkToFit="0" wrapText="1"/>
    </xf>
    <xf borderId="4" fillId="0" fontId="10" numFmtId="0" xfId="0" applyBorder="1" applyFont="1"/>
    <xf borderId="0" fillId="0" fontId="11" numFmtId="0" xfId="0" applyAlignment="1" applyFont="1">
      <alignment readingOrder="0"/>
    </xf>
    <xf borderId="0" fillId="0" fontId="1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://www.wesleyan.edu/admission/freeman/index.html" TargetMode="External"/><Relationship Id="rId20" Type="http://schemas.openxmlformats.org/officeDocument/2006/relationships/hyperlink" Target="https://www.rit.edu/admissions/hsawards" TargetMode="External"/><Relationship Id="rId42" Type="http://schemas.openxmlformats.org/officeDocument/2006/relationships/drawing" Target="../drawings/drawing1.xml"/><Relationship Id="rId41" Type="http://schemas.openxmlformats.org/officeDocument/2006/relationships/hyperlink" Target="http://miamioh.edu/admission/presidential-fellows/" TargetMode="External"/><Relationship Id="rId22" Type="http://schemas.openxmlformats.org/officeDocument/2006/relationships/hyperlink" Target="http://www.rollins.edu/financial-aid/as-cps-financial-aid/scholarships/alfond-scholars-program.html" TargetMode="External"/><Relationship Id="rId21" Type="http://schemas.openxmlformats.org/officeDocument/2006/relationships/hyperlink" Target="https://www.rit.edu/admissions/hsawards" TargetMode="External"/><Relationship Id="rId24" Type="http://schemas.openxmlformats.org/officeDocument/2006/relationships/hyperlink" Target="http://internationalscholars.ubc.ca/eligibility-nomination-and-application/" TargetMode="External"/><Relationship Id="rId23" Type="http://schemas.openxmlformats.org/officeDocument/2006/relationships/hyperlink" Target="http://www.simmons.edu/admission-and-financial-aid/student-financial-services/financial-aid/scholarships/kotzen-scholarship" TargetMode="External"/><Relationship Id="rId1" Type="http://schemas.openxmlformats.org/officeDocument/2006/relationships/hyperlink" Target="https://www.agnesscott.edu/admission/financial-aid/trailblazerscholarship.html" TargetMode="External"/><Relationship Id="rId2" Type="http://schemas.openxmlformats.org/officeDocument/2006/relationships/hyperlink" Target="https://www.babson.edu/admission/tuition-and-financial-aid/undergraduate/merit-awards/womens-leadership-scholarship/" TargetMode="External"/><Relationship Id="rId3" Type="http://schemas.openxmlformats.org/officeDocument/2006/relationships/hyperlink" Target="http://www.bc.edu/centers/psp.html" TargetMode="External"/><Relationship Id="rId4" Type="http://schemas.openxmlformats.org/officeDocument/2006/relationships/hyperlink" Target="https://www.brandeis.edu/isso/about/wien/index.html" TargetMode="External"/><Relationship Id="rId9" Type="http://schemas.openxmlformats.org/officeDocument/2006/relationships/hyperlink" Target="http://www.davidson.edu/admission-and-financial-aid/john-belk-scholarship" TargetMode="External"/><Relationship Id="rId26" Type="http://schemas.openxmlformats.org/officeDocument/2006/relationships/hyperlink" Target="https://aal.hku.hk/admissions/international/admissions-information?page=heforshe-impact-scholarship" TargetMode="External"/><Relationship Id="rId25" Type="http://schemas.openxmlformats.org/officeDocument/2006/relationships/hyperlink" Target="https://www.uea.ac.uk/study/undergraduate/scholarships/international-undergraduate-scholarships" TargetMode="External"/><Relationship Id="rId28" Type="http://schemas.openxmlformats.org/officeDocument/2006/relationships/hyperlink" Target="https://aal.hku.hk/admissions/international/admissions-information?page=hon-ping-entrance-scholarship-nigerian-students" TargetMode="External"/><Relationship Id="rId27" Type="http://schemas.openxmlformats.org/officeDocument/2006/relationships/hyperlink" Target="https://aal.hku.hk/admissions/international/admissions-information?page=en/hksar-government-scholarship-fund-belt-road-and-targeted-scholarship" TargetMode="External"/><Relationship Id="rId5" Type="http://schemas.openxmlformats.org/officeDocument/2006/relationships/hyperlink" Target="https://www.centre.edu/brown-fellows/" TargetMode="External"/><Relationship Id="rId6" Type="http://schemas.openxmlformats.org/officeDocument/2006/relationships/hyperlink" Target="https://www.centre.edu/lincoln-scholars/" TargetMode="External"/><Relationship Id="rId29" Type="http://schemas.openxmlformats.org/officeDocument/2006/relationships/hyperlink" Target="https://hku.au1.qualtrics.com/jfe/form/SV_42ud9NscVxJjiKN" TargetMode="External"/><Relationship Id="rId7" Type="http://schemas.openxmlformats.org/officeDocument/2006/relationships/hyperlink" Target="http://admissions.cuhk.edu.cn/en/content/1939" TargetMode="External"/><Relationship Id="rId8" Type="http://schemas.openxmlformats.org/officeDocument/2006/relationships/hyperlink" Target="http://www.kingscholars.com/recommend-a-scholar/" TargetMode="External"/><Relationship Id="rId31" Type="http://schemas.openxmlformats.org/officeDocument/2006/relationships/hyperlink" Target="https://scholars.richmond.edu/about/index.html" TargetMode="External"/><Relationship Id="rId30" Type="http://schemas.openxmlformats.org/officeDocument/2006/relationships/hyperlink" Target="http://levinescholars.uncc.edu/counselors/counselor-nomination-portal" TargetMode="External"/><Relationship Id="rId11" Type="http://schemas.openxmlformats.org/officeDocument/2006/relationships/hyperlink" Target="https://karshscholars.duke.edu/" TargetMode="External"/><Relationship Id="rId33" Type="http://schemas.openxmlformats.org/officeDocument/2006/relationships/hyperlink" Target="http://www.vanderbilt.edu/scholarships/" TargetMode="External"/><Relationship Id="rId10" Type="http://schemas.openxmlformats.org/officeDocument/2006/relationships/hyperlink" Target="https://www.davidson.edu/admission-and-financial-aid/financial-aid/merit-scholarships/nomination-scholarships/lowell-l-bryan-scholarship" TargetMode="External"/><Relationship Id="rId32" Type="http://schemas.openxmlformats.org/officeDocument/2006/relationships/hyperlink" Target="http://hesburgh-yusko.nd.edu/" TargetMode="External"/><Relationship Id="rId13" Type="http://schemas.openxmlformats.org/officeDocument/2006/relationships/hyperlink" Target="https://www.elmira.edu/admissions-aid/connect_with_us/Highschool_Counselors/The_Key_Award.html" TargetMode="External"/><Relationship Id="rId35" Type="http://schemas.openxmlformats.org/officeDocument/2006/relationships/hyperlink" Target="https://www.warren-wilson.edu/admission/tuition-and-aid/milepost1/" TargetMode="External"/><Relationship Id="rId12" Type="http://schemas.openxmlformats.org/officeDocument/2006/relationships/hyperlink" Target="https://robertsonscholars.org/apply/" TargetMode="External"/><Relationship Id="rId34" Type="http://schemas.openxmlformats.org/officeDocument/2006/relationships/hyperlink" Target="http://wagner.edu/admissions/undergrad/apply/scholarships/" TargetMode="External"/><Relationship Id="rId15" Type="http://schemas.openxmlformats.org/officeDocument/2006/relationships/hyperlink" Target="http://view2.fdu.edu/admissions/international/scholarships-and-financial-aid/scholarships-and-financial-aid-undergraduate-freshmenn/" TargetMode="External"/><Relationship Id="rId37" Type="http://schemas.openxmlformats.org/officeDocument/2006/relationships/hyperlink" Target="https://admissions.wustl.edu/Financial_Aid_Scholarships/First_Year_Academic_Scholarships/Pages/Danforth-Scholars-Program.aspx" TargetMode="External"/><Relationship Id="rId14" Type="http://schemas.openxmlformats.org/officeDocument/2006/relationships/hyperlink" Target="http://apply.emory.edu/apply/meritbased.php" TargetMode="External"/><Relationship Id="rId36" Type="http://schemas.openxmlformats.org/officeDocument/2006/relationships/hyperlink" Target="https://www.washjeff.edu/future-students/financial-aid-scholarships/scholarships/" TargetMode="External"/><Relationship Id="rId17" Type="http://schemas.openxmlformats.org/officeDocument/2006/relationships/hyperlink" Target="https://www.hollins.edu/admission/international-students/global-commitment-scholarship-requirements/" TargetMode="External"/><Relationship Id="rId39" Type="http://schemas.openxmlformats.org/officeDocument/2006/relationships/hyperlink" Target="https://admissions.wustl.edu/Financial_Aid_Scholarships/First_Year_Academic_Scholarships/Pages/Honorary-Scholars-Program.aspx" TargetMode="External"/><Relationship Id="rId16" Type="http://schemas.openxmlformats.org/officeDocument/2006/relationships/hyperlink" Target="https://www.hmc.edu/admission/afford/scholarships-and-grants/merit-based-scholarships/first-scholarship/" TargetMode="External"/><Relationship Id="rId38" Type="http://schemas.openxmlformats.org/officeDocument/2006/relationships/hyperlink" Target="https://admissions.wustl.edu/Financial_Aid_Scholarships/First_Year_Academic_Scholarships/Pages/Rodriguez-Scholars-Program.aspx" TargetMode="External"/><Relationship Id="rId19" Type="http://schemas.openxmlformats.org/officeDocument/2006/relationships/hyperlink" Target="https://www.jacobs-university.de/study/undergraduate/fees-finances/scholarships/full_scholarship" TargetMode="External"/><Relationship Id="rId18" Type="http://schemas.openxmlformats.org/officeDocument/2006/relationships/hyperlink" Target="https://huronatwestern.ca/future-students/international/scholarships/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www.scholars4dev.com/1892/government-scholarships-for-developing-countries/" TargetMode="External"/><Relationship Id="rId2" Type="http://schemas.openxmlformats.org/officeDocument/2006/relationships/hyperlink" Target="https://www.scholars4dev.com/5642/scholarships-in-uk-for-international-students/" TargetMode="External"/><Relationship Id="rId3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24.13"/>
    <col customWidth="1" min="2" max="2" width="20.38"/>
    <col customWidth="1" min="3" max="3" width="16.25"/>
    <col customWidth="1" min="4" max="4" width="14.0"/>
    <col customWidth="1" min="5" max="5" width="17.63"/>
    <col customWidth="1" min="6" max="6" width="18.38"/>
    <col customWidth="1" min="7" max="7" width="35.13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</row>
    <row r="2">
      <c r="A2" s="4" t="s">
        <v>7</v>
      </c>
      <c r="B2" s="5" t="s">
        <v>8</v>
      </c>
      <c r="C2" s="6" t="s">
        <v>9</v>
      </c>
      <c r="D2" s="5" t="s">
        <v>10</v>
      </c>
      <c r="E2" s="5" t="s">
        <v>11</v>
      </c>
      <c r="F2" s="7">
        <v>42750.0</v>
      </c>
      <c r="G2" s="8"/>
    </row>
    <row r="3">
      <c r="A3" s="4" t="s">
        <v>12</v>
      </c>
      <c r="B3" s="5" t="s">
        <v>13</v>
      </c>
      <c r="C3" s="6" t="s">
        <v>9</v>
      </c>
      <c r="D3" s="5" t="s">
        <v>10</v>
      </c>
      <c r="E3" s="5" t="s">
        <v>14</v>
      </c>
      <c r="F3" s="5"/>
      <c r="G3" s="8"/>
    </row>
    <row r="4">
      <c r="A4" s="4" t="s">
        <v>15</v>
      </c>
      <c r="B4" s="5" t="s">
        <v>16</v>
      </c>
      <c r="C4" s="6" t="s">
        <v>9</v>
      </c>
      <c r="D4" s="5" t="s">
        <v>10</v>
      </c>
      <c r="E4" s="5" t="s">
        <v>17</v>
      </c>
      <c r="F4" s="5" t="s">
        <v>18</v>
      </c>
      <c r="G4" s="8"/>
    </row>
    <row r="5">
      <c r="A5" s="9" t="s">
        <v>19</v>
      </c>
      <c r="B5" s="5" t="s">
        <v>20</v>
      </c>
      <c r="C5" s="6" t="s">
        <v>9</v>
      </c>
      <c r="D5" s="5" t="s">
        <v>21</v>
      </c>
      <c r="E5" s="5" t="s">
        <v>22</v>
      </c>
      <c r="F5" s="7">
        <v>42705.0</v>
      </c>
      <c r="G5" s="8"/>
    </row>
    <row r="6">
      <c r="A6" s="4" t="s">
        <v>23</v>
      </c>
      <c r="B6" s="5" t="s">
        <v>24</v>
      </c>
      <c r="C6" s="6" t="s">
        <v>9</v>
      </c>
      <c r="D6" s="5" t="s">
        <v>25</v>
      </c>
      <c r="E6" s="5" t="s">
        <v>26</v>
      </c>
      <c r="F6" s="5"/>
      <c r="G6" s="8" t="s">
        <v>27</v>
      </c>
    </row>
    <row r="7">
      <c r="A7" s="10" t="s">
        <v>28</v>
      </c>
      <c r="B7" s="5" t="s">
        <v>29</v>
      </c>
      <c r="C7" s="6" t="s">
        <v>9</v>
      </c>
      <c r="D7" s="5"/>
      <c r="E7" s="6" t="s">
        <v>30</v>
      </c>
      <c r="F7" s="5"/>
      <c r="G7" s="5" t="s">
        <v>31</v>
      </c>
    </row>
    <row r="8">
      <c r="A8" s="10" t="s">
        <v>32</v>
      </c>
      <c r="B8" s="5" t="s">
        <v>29</v>
      </c>
      <c r="C8" s="6" t="s">
        <v>9</v>
      </c>
      <c r="D8" s="5"/>
      <c r="E8" s="6" t="s">
        <v>33</v>
      </c>
      <c r="F8" s="5"/>
      <c r="G8" s="5" t="s">
        <v>31</v>
      </c>
    </row>
    <row r="9">
      <c r="A9" s="11" t="str">
        <f>HYPERLINK("http://www.centre.edu/admission-aid/cost-aid/scholarships/grissom-scholars-program/","Grissom Scholars Program")</f>
        <v>Grissom Scholars Program</v>
      </c>
      <c r="B9" s="5" t="s">
        <v>29</v>
      </c>
      <c r="C9" s="12" t="s">
        <v>34</v>
      </c>
      <c r="D9" s="5"/>
      <c r="E9" s="12" t="s">
        <v>30</v>
      </c>
      <c r="F9" s="5"/>
      <c r="G9" s="13" t="s">
        <v>35</v>
      </c>
    </row>
    <row r="10">
      <c r="A10" s="4" t="s">
        <v>36</v>
      </c>
      <c r="B10" s="14" t="s">
        <v>36</v>
      </c>
      <c r="C10" s="14" t="s">
        <v>37</v>
      </c>
      <c r="D10" s="5" t="s">
        <v>10</v>
      </c>
      <c r="E10" s="5" t="s">
        <v>38</v>
      </c>
      <c r="F10" s="5"/>
      <c r="G10" s="8" t="s">
        <v>27</v>
      </c>
    </row>
    <row r="11">
      <c r="A11" s="4" t="s">
        <v>39</v>
      </c>
      <c r="B11" s="5" t="s">
        <v>40</v>
      </c>
      <c r="C11" s="6" t="s">
        <v>9</v>
      </c>
      <c r="D11" s="5" t="s">
        <v>41</v>
      </c>
      <c r="E11" s="5" t="s">
        <v>42</v>
      </c>
      <c r="F11" s="5" t="s">
        <v>43</v>
      </c>
      <c r="G11" s="8"/>
    </row>
    <row r="12">
      <c r="A12" s="4" t="s">
        <v>44</v>
      </c>
      <c r="B12" s="5" t="s">
        <v>45</v>
      </c>
      <c r="C12" s="6" t="s">
        <v>9</v>
      </c>
      <c r="D12" s="5" t="s">
        <v>10</v>
      </c>
      <c r="E12" s="14" t="s">
        <v>46</v>
      </c>
      <c r="F12" s="5" t="s">
        <v>47</v>
      </c>
      <c r="G12" s="8"/>
    </row>
    <row r="13">
      <c r="A13" s="4" t="s">
        <v>48</v>
      </c>
      <c r="B13" s="5" t="s">
        <v>45</v>
      </c>
      <c r="C13" s="6" t="s">
        <v>9</v>
      </c>
      <c r="D13" s="5" t="s">
        <v>49</v>
      </c>
      <c r="E13" s="5" t="s">
        <v>50</v>
      </c>
      <c r="F13" s="5" t="s">
        <v>51</v>
      </c>
      <c r="G13" s="8"/>
    </row>
    <row r="14">
      <c r="A14" s="4" t="s">
        <v>52</v>
      </c>
      <c r="B14" s="5" t="s">
        <v>53</v>
      </c>
      <c r="C14" s="6" t="s">
        <v>9</v>
      </c>
      <c r="D14" s="5" t="s">
        <v>54</v>
      </c>
      <c r="E14" s="5" t="s">
        <v>55</v>
      </c>
      <c r="F14" s="5" t="s">
        <v>56</v>
      </c>
      <c r="G14" s="8"/>
    </row>
    <row r="15">
      <c r="A15" s="4" t="s">
        <v>57</v>
      </c>
      <c r="B15" s="5" t="s">
        <v>58</v>
      </c>
      <c r="C15" s="6" t="s">
        <v>9</v>
      </c>
      <c r="D15" s="5" t="s">
        <v>25</v>
      </c>
      <c r="E15" s="5" t="s">
        <v>26</v>
      </c>
      <c r="F15" s="15">
        <v>43054.0</v>
      </c>
      <c r="G15" s="8"/>
    </row>
    <row r="16">
      <c r="A16" s="10" t="s">
        <v>59</v>
      </c>
      <c r="B16" s="5" t="s">
        <v>60</v>
      </c>
      <c r="C16" s="6" t="s">
        <v>34</v>
      </c>
      <c r="D16" s="5"/>
      <c r="E16" s="16" t="s">
        <v>61</v>
      </c>
      <c r="F16" s="5"/>
      <c r="G16" s="14" t="s">
        <v>62</v>
      </c>
    </row>
    <row r="17">
      <c r="A17" s="4" t="s">
        <v>63</v>
      </c>
      <c r="B17" s="5" t="s">
        <v>64</v>
      </c>
      <c r="C17" s="6" t="s">
        <v>9</v>
      </c>
      <c r="D17" s="5" t="s">
        <v>10</v>
      </c>
      <c r="E17" s="5" t="s">
        <v>65</v>
      </c>
      <c r="F17" s="15">
        <v>42689.0</v>
      </c>
      <c r="G17" s="8"/>
    </row>
    <row r="18">
      <c r="A18" s="4" t="s">
        <v>66</v>
      </c>
      <c r="B18" s="5" t="s">
        <v>67</v>
      </c>
      <c r="C18" s="6" t="s">
        <v>9</v>
      </c>
      <c r="D18" s="5" t="s">
        <v>10</v>
      </c>
      <c r="E18" s="5" t="s">
        <v>68</v>
      </c>
      <c r="F18" s="5"/>
      <c r="G18" s="8"/>
    </row>
    <row r="19">
      <c r="A19" s="10" t="s">
        <v>69</v>
      </c>
      <c r="B19" s="5" t="s">
        <v>70</v>
      </c>
      <c r="C19" s="6" t="s">
        <v>9</v>
      </c>
      <c r="D19" s="5" t="s">
        <v>10</v>
      </c>
      <c r="E19" s="17" t="s">
        <v>71</v>
      </c>
      <c r="F19" s="5"/>
      <c r="G19" s="8"/>
    </row>
    <row r="20">
      <c r="A20" s="10" t="str">
        <f>HYPERLINK("http://www.highpoint.edu/admissions/junior-scholars-program/","Junior Scholars Program")</f>
        <v>Junior Scholars Program</v>
      </c>
      <c r="B20" s="5" t="s">
        <v>72</v>
      </c>
      <c r="C20" s="6" t="s">
        <v>9</v>
      </c>
      <c r="D20" s="5"/>
      <c r="E20" s="16" t="s">
        <v>73</v>
      </c>
      <c r="F20" s="5"/>
      <c r="G20" s="5"/>
    </row>
    <row r="21">
      <c r="A21" s="4" t="s">
        <v>74</v>
      </c>
      <c r="B21" s="5" t="s">
        <v>75</v>
      </c>
      <c r="C21" s="6" t="s">
        <v>9</v>
      </c>
      <c r="D21" s="5" t="s">
        <v>10</v>
      </c>
      <c r="E21" s="5" t="s">
        <v>76</v>
      </c>
      <c r="F21" s="7">
        <v>43070.0</v>
      </c>
      <c r="G21" s="8"/>
    </row>
    <row r="22">
      <c r="A22" s="10" t="s">
        <v>77</v>
      </c>
      <c r="B22" s="5" t="s">
        <v>78</v>
      </c>
      <c r="C22" s="6" t="s">
        <v>79</v>
      </c>
      <c r="D22" s="5"/>
      <c r="E22" s="6" t="s">
        <v>80</v>
      </c>
      <c r="F22" s="5"/>
      <c r="G22" s="5"/>
    </row>
    <row r="23">
      <c r="A23" s="10" t="str">
        <f>HYPERLINK("https://wellsscholars.indiana.edu/","Wells Scholars Program")</f>
        <v>Wells Scholars Program</v>
      </c>
      <c r="B23" s="5" t="s">
        <v>81</v>
      </c>
      <c r="C23" s="6" t="s">
        <v>9</v>
      </c>
      <c r="D23" s="5"/>
      <c r="E23" s="6" t="s">
        <v>82</v>
      </c>
      <c r="F23" s="5"/>
      <c r="G23" s="5" t="s">
        <v>83</v>
      </c>
    </row>
    <row r="24">
      <c r="A24" s="10" t="s">
        <v>84</v>
      </c>
      <c r="B24" s="5" t="s">
        <v>85</v>
      </c>
      <c r="C24" s="5" t="s">
        <v>86</v>
      </c>
      <c r="D24" s="5" t="s">
        <v>10</v>
      </c>
      <c r="E24" s="5" t="s">
        <v>87</v>
      </c>
      <c r="F24" s="18">
        <v>43497.0</v>
      </c>
      <c r="G24" s="8" t="s">
        <v>88</v>
      </c>
    </row>
    <row r="25">
      <c r="A25" s="19" t="s">
        <v>89</v>
      </c>
      <c r="B25" s="5" t="s">
        <v>90</v>
      </c>
      <c r="C25" s="6" t="s">
        <v>91</v>
      </c>
      <c r="D25" s="5"/>
      <c r="E25" s="6" t="s">
        <v>92</v>
      </c>
      <c r="F25" s="5"/>
      <c r="G25" s="5" t="s">
        <v>93</v>
      </c>
    </row>
    <row r="26">
      <c r="A26" s="11" t="str">
        <f>HYPERLINK("https://park.ncsu.edu/","Park Scholarship")</f>
        <v>Park Scholarship</v>
      </c>
      <c r="B26" s="13" t="s">
        <v>94</v>
      </c>
      <c r="C26" s="12" t="s">
        <v>34</v>
      </c>
      <c r="D26" s="5"/>
      <c r="E26" s="12" t="s">
        <v>82</v>
      </c>
      <c r="F26" s="5"/>
      <c r="G26" s="13" t="s">
        <v>95</v>
      </c>
    </row>
    <row r="27">
      <c r="A27" s="11" t="str">
        <f>HYPERLINK("http://www.northeastern.edu/torch/nomination-process/criteria/","Torch Scholars Program")</f>
        <v>Torch Scholars Program</v>
      </c>
      <c r="B27" s="13" t="s">
        <v>96</v>
      </c>
      <c r="C27" s="12" t="s">
        <v>34</v>
      </c>
      <c r="D27" s="5"/>
      <c r="E27" s="12" t="s">
        <v>97</v>
      </c>
      <c r="F27" s="5"/>
      <c r="G27" s="13" t="s">
        <v>98</v>
      </c>
    </row>
    <row r="28">
      <c r="A28" s="10" t="str">
        <f>HYPERLINK("http://nyuad.nyu.edu/en/admissions/information-for-counselors/nomination-overview.html","NYUAD Nomination")</f>
        <v>NYUAD Nomination</v>
      </c>
      <c r="B28" s="5" t="s">
        <v>99</v>
      </c>
      <c r="C28" s="6" t="s">
        <v>100</v>
      </c>
      <c r="D28" s="5"/>
      <c r="E28" s="6" t="s">
        <v>101</v>
      </c>
      <c r="F28" s="5"/>
      <c r="G28" s="5" t="s">
        <v>102</v>
      </c>
    </row>
    <row r="29">
      <c r="A29" s="10" t="str">
        <f>HYPERLINK("http://www.queensu.ca/studentawards/admission-awards/major-admission-awards","Chancellor's Scholarship")</f>
        <v>Chancellor's Scholarship</v>
      </c>
      <c r="B29" s="5" t="s">
        <v>103</v>
      </c>
      <c r="C29" s="6" t="s">
        <v>79</v>
      </c>
      <c r="D29" s="5"/>
      <c r="E29" s="16" t="s">
        <v>104</v>
      </c>
      <c r="F29" s="5"/>
      <c r="G29" s="5"/>
    </row>
    <row r="30">
      <c r="A30" s="10" t="str">
        <f>HYPERLINK("http://admissions.rpi.edu/undergraduate/admission/freshman/rpimedal.html","Rensselaer Medal")</f>
        <v>Rensselaer Medal</v>
      </c>
      <c r="B30" s="5" t="s">
        <v>105</v>
      </c>
      <c r="C30" s="6" t="s">
        <v>9</v>
      </c>
      <c r="D30" s="5"/>
      <c r="E30" s="16" t="s">
        <v>106</v>
      </c>
      <c r="F30" s="5"/>
      <c r="G30" s="5"/>
    </row>
    <row r="31">
      <c r="A31" s="10" t="s">
        <v>107</v>
      </c>
      <c r="B31" s="5" t="s">
        <v>108</v>
      </c>
      <c r="C31" s="6" t="s">
        <v>9</v>
      </c>
      <c r="D31" s="5"/>
      <c r="E31" s="16" t="s">
        <v>109</v>
      </c>
      <c r="F31" s="5"/>
      <c r="G31" s="5" t="s">
        <v>110</v>
      </c>
    </row>
    <row r="32">
      <c r="A32" s="10" t="s">
        <v>111</v>
      </c>
      <c r="B32" s="5" t="s">
        <v>108</v>
      </c>
      <c r="C32" s="6" t="s">
        <v>9</v>
      </c>
      <c r="D32" s="5"/>
      <c r="E32" s="16" t="s">
        <v>109</v>
      </c>
      <c r="F32" s="5"/>
      <c r="G32" s="5" t="s">
        <v>110</v>
      </c>
    </row>
    <row r="33">
      <c r="A33" s="4" t="s">
        <v>112</v>
      </c>
      <c r="B33" s="5" t="s">
        <v>113</v>
      </c>
      <c r="C33" s="6" t="s">
        <v>9</v>
      </c>
      <c r="D33" s="5" t="s">
        <v>10</v>
      </c>
      <c r="E33" s="5" t="s">
        <v>114</v>
      </c>
      <c r="F33" s="15">
        <v>43040.0</v>
      </c>
      <c r="G33" s="8"/>
    </row>
    <row r="34">
      <c r="A34" s="19" t="s">
        <v>115</v>
      </c>
      <c r="B34" s="5" t="s">
        <v>116</v>
      </c>
      <c r="C34" s="6" t="s">
        <v>34</v>
      </c>
      <c r="D34" s="5"/>
      <c r="E34" s="6" t="s">
        <v>61</v>
      </c>
      <c r="F34" s="5"/>
      <c r="G34" s="5" t="s">
        <v>117</v>
      </c>
    </row>
    <row r="35">
      <c r="A35" s="19" t="s">
        <v>118</v>
      </c>
      <c r="B35" s="5" t="s">
        <v>116</v>
      </c>
      <c r="C35" s="20" t="s">
        <v>34</v>
      </c>
      <c r="D35" s="5"/>
      <c r="E35" s="20" t="s">
        <v>30</v>
      </c>
      <c r="F35" s="5"/>
      <c r="G35" s="14" t="s">
        <v>119</v>
      </c>
    </row>
    <row r="36">
      <c r="A36" s="19" t="s">
        <v>120</v>
      </c>
      <c r="B36" s="5" t="s">
        <v>116</v>
      </c>
      <c r="C36" s="20" t="s">
        <v>34</v>
      </c>
      <c r="D36" s="5"/>
      <c r="E36" s="20" t="s">
        <v>30</v>
      </c>
      <c r="F36" s="5"/>
      <c r="G36" s="14" t="s">
        <v>121</v>
      </c>
    </row>
    <row r="37">
      <c r="A37" s="4" t="s">
        <v>122</v>
      </c>
      <c r="B37" s="5" t="s">
        <v>123</v>
      </c>
      <c r="C37" s="6" t="s">
        <v>9</v>
      </c>
      <c r="D37" s="5" t="s">
        <v>10</v>
      </c>
      <c r="E37" s="5" t="s">
        <v>124</v>
      </c>
      <c r="F37" s="18">
        <v>42705.0</v>
      </c>
      <c r="G37" s="8"/>
    </row>
    <row r="38">
      <c r="A38" s="10" t="str">
        <f>HYPERLINK("http://www.smcvt.edu/admissions/book-award-recipients.aspx","St. Michael's College Book Award")</f>
        <v>St. Michael's College Book Award</v>
      </c>
      <c r="B38" s="5" t="s">
        <v>125</v>
      </c>
      <c r="C38" s="6" t="s">
        <v>9</v>
      </c>
      <c r="D38" s="5"/>
      <c r="E38" s="6" t="s">
        <v>126</v>
      </c>
      <c r="F38" s="5"/>
      <c r="G38" s="5"/>
    </row>
    <row r="39">
      <c r="A39" s="10" t="str">
        <f>HYPERLINK("http://www.stetson.edu/administration/financial-planning/scholarships/j-ollie-edmunds/","Edmunds Scholars")</f>
        <v>Edmunds Scholars</v>
      </c>
      <c r="B39" s="5" t="s">
        <v>127</v>
      </c>
      <c r="C39" s="6" t="s">
        <v>34</v>
      </c>
      <c r="D39" s="5"/>
      <c r="E39" s="6" t="s">
        <v>82</v>
      </c>
      <c r="F39" s="5"/>
      <c r="G39" s="5"/>
    </row>
    <row r="40">
      <c r="A40" s="11" t="str">
        <f>HYPERLINK("https://www.sage.edu/admission/first-year/nomination-form-student-sage-award/","Student Sage Award")</f>
        <v>Student Sage Award</v>
      </c>
      <c r="B40" s="13" t="s">
        <v>128</v>
      </c>
      <c r="C40" s="12" t="s">
        <v>34</v>
      </c>
      <c r="D40" s="5"/>
      <c r="E40" s="12" t="s">
        <v>129</v>
      </c>
      <c r="F40" s="5"/>
      <c r="G40" s="13" t="s">
        <v>130</v>
      </c>
    </row>
    <row r="41">
      <c r="A41" s="4" t="s">
        <v>131</v>
      </c>
      <c r="B41" s="5" t="s">
        <v>132</v>
      </c>
      <c r="C41" s="5" t="s">
        <v>79</v>
      </c>
      <c r="D41" s="5" t="s">
        <v>133</v>
      </c>
      <c r="E41" s="5" t="s">
        <v>134</v>
      </c>
      <c r="F41" s="18">
        <v>42705.0</v>
      </c>
      <c r="G41" s="8"/>
    </row>
    <row r="42">
      <c r="A42" s="10" t="str">
        <f>HYPERLINK("http://you.ubc.ca/financial-planning/scholarships-awards-international-students/international-scholars/","Wehrung International Student Award")</f>
        <v>Wehrung International Student Award</v>
      </c>
      <c r="B42" s="5" t="s">
        <v>132</v>
      </c>
      <c r="C42" s="6" t="s">
        <v>79</v>
      </c>
      <c r="D42" s="5"/>
      <c r="E42" s="6" t="s">
        <v>135</v>
      </c>
      <c r="F42" s="5"/>
      <c r="G42" s="5"/>
    </row>
    <row r="43">
      <c r="A43" s="4" t="s">
        <v>136</v>
      </c>
      <c r="B43" s="14" t="s">
        <v>137</v>
      </c>
      <c r="C43" s="5" t="s">
        <v>138</v>
      </c>
      <c r="D43" s="5" t="s">
        <v>10</v>
      </c>
      <c r="E43" s="5" t="s">
        <v>139</v>
      </c>
      <c r="F43" s="5" t="s">
        <v>140</v>
      </c>
      <c r="G43" s="8"/>
    </row>
    <row r="44">
      <c r="A44" s="10" t="s">
        <v>141</v>
      </c>
      <c r="B44" s="14" t="s">
        <v>142</v>
      </c>
      <c r="C44" s="6"/>
      <c r="D44" s="5"/>
      <c r="E44" s="20" t="s">
        <v>143</v>
      </c>
      <c r="F44" s="5"/>
      <c r="G44" s="5"/>
    </row>
    <row r="45">
      <c r="A45" s="10" t="s">
        <v>144</v>
      </c>
      <c r="B45" s="14" t="s">
        <v>142</v>
      </c>
      <c r="C45" s="6"/>
      <c r="D45" s="5"/>
      <c r="E45" s="20" t="s">
        <v>143</v>
      </c>
      <c r="F45" s="5"/>
      <c r="G45" s="5"/>
    </row>
    <row r="46">
      <c r="A46" s="10" t="s">
        <v>145</v>
      </c>
      <c r="B46" s="14" t="s">
        <v>142</v>
      </c>
      <c r="C46" s="6"/>
      <c r="D46" s="5"/>
      <c r="E46" s="20" t="s">
        <v>143</v>
      </c>
      <c r="F46" s="5"/>
      <c r="G46" s="5"/>
    </row>
    <row r="47">
      <c r="A47" s="10" t="s">
        <v>146</v>
      </c>
      <c r="B47" s="5" t="s">
        <v>142</v>
      </c>
      <c r="C47" s="6"/>
      <c r="D47" s="5"/>
      <c r="E47" s="20" t="s">
        <v>143</v>
      </c>
      <c r="F47" s="5"/>
      <c r="G47" s="5"/>
    </row>
    <row r="48">
      <c r="A48" s="4" t="str">
        <f>HYPERLINK("http://www.bannekerkey.umd.edu/bkinformation.html","Banneker/Key Scholarship")</f>
        <v>Banneker/Key Scholarship</v>
      </c>
      <c r="B48" s="5" t="s">
        <v>147</v>
      </c>
      <c r="C48" s="6" t="s">
        <v>9</v>
      </c>
      <c r="D48" s="5" t="s">
        <v>10</v>
      </c>
      <c r="E48" s="5" t="s">
        <v>148</v>
      </c>
      <c r="F48" s="18">
        <v>43405.0</v>
      </c>
      <c r="G48" s="8"/>
    </row>
    <row r="49">
      <c r="A49" s="11" t="str">
        <f>HYPERLINK("http://meyerhoff.umbc.edu/","Meyerhoff Scholars Program")</f>
        <v>Meyerhoff Scholars Program</v>
      </c>
      <c r="B49" s="13" t="s">
        <v>149</v>
      </c>
      <c r="C49" s="12" t="s">
        <v>34</v>
      </c>
      <c r="D49" s="5"/>
      <c r="E49" s="12" t="s">
        <v>150</v>
      </c>
      <c r="F49" s="5"/>
      <c r="G49" s="13" t="s">
        <v>130</v>
      </c>
    </row>
    <row r="50">
      <c r="A50" s="9" t="s">
        <v>151</v>
      </c>
      <c r="B50" s="5" t="s">
        <v>152</v>
      </c>
      <c r="C50" s="6" t="s">
        <v>9</v>
      </c>
      <c r="D50" s="5" t="s">
        <v>153</v>
      </c>
      <c r="E50" s="5" t="s">
        <v>154</v>
      </c>
      <c r="F50" s="5" t="s">
        <v>155</v>
      </c>
      <c r="G50" s="8"/>
    </row>
    <row r="51">
      <c r="A51" s="4" t="s">
        <v>156</v>
      </c>
      <c r="B51" s="5" t="s">
        <v>157</v>
      </c>
      <c r="C51" s="6" t="s">
        <v>9</v>
      </c>
      <c r="D51" s="5" t="s">
        <v>10</v>
      </c>
      <c r="E51" s="5" t="s">
        <v>158</v>
      </c>
      <c r="F51" s="5" t="s">
        <v>159</v>
      </c>
      <c r="G51" s="21" t="s">
        <v>160</v>
      </c>
    </row>
    <row r="52">
      <c r="A52" s="10" t="str">
        <f>HYPERLINK("http://www.moreheadcain.org/","Morehead-Cain")</f>
        <v>Morehead-Cain</v>
      </c>
      <c r="B52" s="5" t="s">
        <v>161</v>
      </c>
      <c r="C52" s="6" t="s">
        <v>34</v>
      </c>
      <c r="D52" s="5"/>
      <c r="E52" s="6" t="s">
        <v>82</v>
      </c>
      <c r="F52" s="5"/>
      <c r="G52" s="5" t="s">
        <v>162</v>
      </c>
    </row>
    <row r="53">
      <c r="A53" s="4" t="s">
        <v>163</v>
      </c>
      <c r="B53" s="5" t="s">
        <v>164</v>
      </c>
      <c r="C53" s="6" t="s">
        <v>9</v>
      </c>
      <c r="D53" s="5" t="s">
        <v>10</v>
      </c>
      <c r="E53" s="5" t="s">
        <v>165</v>
      </c>
      <c r="F53" s="7">
        <v>43070.0</v>
      </c>
      <c r="G53" s="8" t="s">
        <v>27</v>
      </c>
    </row>
    <row r="54">
      <c r="A54" s="10" t="str">
        <f>HYPERLINK("https://enrollment.rochester.edu/hsawards","High School Awards")</f>
        <v>High School Awards</v>
      </c>
      <c r="B54" s="5" t="s">
        <v>166</v>
      </c>
      <c r="C54" s="6" t="s">
        <v>9</v>
      </c>
      <c r="D54" s="5"/>
      <c r="E54" s="6" t="s">
        <v>150</v>
      </c>
      <c r="F54" s="5"/>
      <c r="G54" s="5" t="s">
        <v>167</v>
      </c>
    </row>
    <row r="55">
      <c r="A55" s="10" t="str">
        <f>HYPERLINK("http://www.future.utoronto.ca/pearson/about","Pearson International Scholarships")</f>
        <v>Pearson International Scholarships</v>
      </c>
      <c r="B55" s="5" t="s">
        <v>168</v>
      </c>
      <c r="C55" s="6" t="s">
        <v>79</v>
      </c>
      <c r="D55" s="5" t="s">
        <v>10</v>
      </c>
      <c r="E55" s="5" t="s">
        <v>114</v>
      </c>
      <c r="F55" s="5" t="s">
        <v>169</v>
      </c>
      <c r="G55" s="5"/>
    </row>
    <row r="56">
      <c r="A56" s="19" t="s">
        <v>170</v>
      </c>
      <c r="B56" s="5" t="s">
        <v>171</v>
      </c>
      <c r="C56" s="6" t="s">
        <v>34</v>
      </c>
      <c r="D56" s="5"/>
      <c r="E56" s="16" t="s">
        <v>106</v>
      </c>
      <c r="F56" s="5"/>
      <c r="G56" s="5" t="s">
        <v>172</v>
      </c>
    </row>
    <row r="57">
      <c r="A57" s="10" t="str">
        <f>HYPERLINK("https://www.jeffersonscholars.org/","Jefferson Scholars")</f>
        <v>Jefferson Scholars</v>
      </c>
      <c r="B57" s="5" t="s">
        <v>173</v>
      </c>
      <c r="C57" s="6" t="s">
        <v>34</v>
      </c>
      <c r="D57" s="5"/>
      <c r="E57" s="6" t="s">
        <v>82</v>
      </c>
      <c r="F57" s="5" t="s">
        <v>174</v>
      </c>
      <c r="G57" s="5"/>
    </row>
    <row r="58">
      <c r="A58" s="4" t="s">
        <v>175</v>
      </c>
      <c r="B58" s="5" t="s">
        <v>176</v>
      </c>
      <c r="C58" s="6" t="s">
        <v>9</v>
      </c>
      <c r="D58" s="5" t="s">
        <v>177</v>
      </c>
      <c r="E58" s="5" t="s">
        <v>178</v>
      </c>
      <c r="F58" s="5" t="s">
        <v>179</v>
      </c>
      <c r="G58" s="8"/>
    </row>
    <row r="59">
      <c r="A59" s="4" t="s">
        <v>180</v>
      </c>
      <c r="B59" s="5" t="s">
        <v>181</v>
      </c>
      <c r="C59" s="6" t="s">
        <v>9</v>
      </c>
      <c r="D59" s="5" t="s">
        <v>10</v>
      </c>
      <c r="E59" s="5" t="s">
        <v>182</v>
      </c>
      <c r="F59" s="7">
        <v>42370.0</v>
      </c>
      <c r="G59" s="8"/>
    </row>
    <row r="60">
      <c r="A60" s="10" t="str">
        <f>HYPERLINK("https://www1.villanova.edu/villanova/provost/crf/presscholar.html","Presidential Scholars Program")</f>
        <v>Presidential Scholars Program</v>
      </c>
      <c r="B60" s="5" t="s">
        <v>183</v>
      </c>
      <c r="C60" s="6" t="s">
        <v>34</v>
      </c>
      <c r="D60" s="5"/>
      <c r="E60" s="6" t="s">
        <v>82</v>
      </c>
      <c r="F60" s="5"/>
      <c r="G60" s="5"/>
    </row>
    <row r="61">
      <c r="A61" s="4" t="s">
        <v>184</v>
      </c>
      <c r="B61" s="5" t="s">
        <v>184</v>
      </c>
      <c r="C61" s="6" t="s">
        <v>9</v>
      </c>
      <c r="D61" s="5" t="s">
        <v>10</v>
      </c>
      <c r="E61" s="5" t="s">
        <v>185</v>
      </c>
      <c r="F61" s="5"/>
      <c r="G61" s="8"/>
    </row>
    <row r="62">
      <c r="A62" s="4" t="s">
        <v>186</v>
      </c>
      <c r="B62" s="5" t="s">
        <v>187</v>
      </c>
      <c r="C62" s="6" t="s">
        <v>9</v>
      </c>
      <c r="D62" s="5" t="s">
        <v>188</v>
      </c>
      <c r="E62" s="5" t="s">
        <v>87</v>
      </c>
      <c r="F62" s="7">
        <v>43160.0</v>
      </c>
      <c r="G62" s="8"/>
    </row>
    <row r="63">
      <c r="A63" s="4" t="s">
        <v>189</v>
      </c>
      <c r="B63" s="5" t="s">
        <v>190</v>
      </c>
      <c r="C63" s="6" t="s">
        <v>9</v>
      </c>
      <c r="D63" s="5" t="s">
        <v>10</v>
      </c>
      <c r="E63" s="5" t="s">
        <v>191</v>
      </c>
      <c r="F63" s="18">
        <v>43146.0</v>
      </c>
      <c r="G63" s="8"/>
    </row>
    <row r="64">
      <c r="A64" s="4" t="s">
        <v>192</v>
      </c>
      <c r="B64" s="5" t="s">
        <v>193</v>
      </c>
      <c r="C64" s="6" t="s">
        <v>9</v>
      </c>
      <c r="D64" s="5" t="s">
        <v>10</v>
      </c>
      <c r="E64" s="5" t="s">
        <v>30</v>
      </c>
      <c r="F64" s="5" t="s">
        <v>194</v>
      </c>
      <c r="G64" s="8"/>
    </row>
    <row r="65">
      <c r="A65" s="4" t="s">
        <v>195</v>
      </c>
      <c r="B65" s="5" t="s">
        <v>193</v>
      </c>
      <c r="C65" s="6" t="s">
        <v>9</v>
      </c>
      <c r="D65" s="5" t="s">
        <v>10</v>
      </c>
      <c r="E65" s="5" t="s">
        <v>196</v>
      </c>
      <c r="F65" s="5"/>
      <c r="G65" s="8"/>
    </row>
    <row r="66">
      <c r="A66" s="4" t="s">
        <v>197</v>
      </c>
      <c r="B66" s="5" t="s">
        <v>193</v>
      </c>
      <c r="C66" s="6" t="s">
        <v>9</v>
      </c>
      <c r="D66" s="5" t="s">
        <v>10</v>
      </c>
      <c r="E66" s="5" t="s">
        <v>196</v>
      </c>
      <c r="F66" s="5"/>
      <c r="G66" s="8"/>
    </row>
    <row r="67">
      <c r="A67" s="4" t="s">
        <v>198</v>
      </c>
      <c r="B67" s="5" t="s">
        <v>199</v>
      </c>
      <c r="C67" s="6" t="s">
        <v>9</v>
      </c>
      <c r="D67" s="5" t="s">
        <v>10</v>
      </c>
      <c r="E67" s="5"/>
      <c r="F67" s="5"/>
      <c r="G67" s="8"/>
    </row>
    <row r="68">
      <c r="A68" s="10" t="str">
        <f>HYPERLINK("http://www.wofford.edu/scholars/","Wofford Scholars")</f>
        <v>Wofford Scholars</v>
      </c>
      <c r="B68" s="5" t="s">
        <v>200</v>
      </c>
      <c r="C68" s="6" t="s">
        <v>9</v>
      </c>
      <c r="D68" s="5" t="s">
        <v>10</v>
      </c>
      <c r="E68" s="6" t="s">
        <v>201</v>
      </c>
      <c r="F68" s="5"/>
      <c r="G68" s="5"/>
    </row>
    <row r="69">
      <c r="A69" s="10" t="str">
        <f>HYPERLINK("http://futurestudents.yorku.ca/funding","Global Leader of Tomorrow")</f>
        <v>Global Leader of Tomorrow</v>
      </c>
      <c r="B69" s="5" t="s">
        <v>202</v>
      </c>
      <c r="C69" s="6" t="s">
        <v>79</v>
      </c>
      <c r="D69" s="5" t="s">
        <v>10</v>
      </c>
      <c r="E69" s="6" t="s">
        <v>203</v>
      </c>
      <c r="F69" s="5"/>
      <c r="G69" s="5"/>
    </row>
    <row r="70">
      <c r="A70" s="10" t="str">
        <f>HYPERLINK("http://futurestudents.yorku.ca/funding","International Circle of Scholars")</f>
        <v>International Circle of Scholars</v>
      </c>
      <c r="B70" s="5" t="s">
        <v>202</v>
      </c>
      <c r="C70" s="6" t="s">
        <v>79</v>
      </c>
      <c r="D70" s="5" t="s">
        <v>10</v>
      </c>
      <c r="E70" s="6" t="s">
        <v>204</v>
      </c>
      <c r="F70" s="5"/>
      <c r="G70" s="5"/>
    </row>
    <row r="71">
      <c r="A71" s="10" t="str">
        <f>HYPERLINK("http://futurestudents.yorku.ca/funding","International Entrance Scholarship")</f>
        <v>International Entrance Scholarship</v>
      </c>
      <c r="B71" s="5" t="s">
        <v>202</v>
      </c>
      <c r="C71" s="6" t="s">
        <v>79</v>
      </c>
      <c r="D71" s="5" t="s">
        <v>10</v>
      </c>
      <c r="E71" s="6" t="s">
        <v>205</v>
      </c>
      <c r="F71" s="5"/>
      <c r="G71" s="5"/>
    </row>
    <row r="72">
      <c r="A72" s="11" t="s">
        <v>206</v>
      </c>
      <c r="B72" s="12" t="s">
        <v>207</v>
      </c>
      <c r="C72" s="22" t="s">
        <v>34</v>
      </c>
      <c r="D72" s="5" t="s">
        <v>10</v>
      </c>
      <c r="E72" s="22" t="s">
        <v>208</v>
      </c>
      <c r="F72" s="5"/>
      <c r="G72" s="5"/>
    </row>
  </sheetData>
  <hyperlinks>
    <hyperlink r:id="rId1" ref="A2"/>
    <hyperlink r:id="rId2" ref="A3"/>
    <hyperlink r:id="rId3" ref="A4"/>
    <hyperlink r:id="rId4" ref="A6"/>
    <hyperlink r:id="rId5" ref="A7"/>
    <hyperlink r:id="rId6" ref="A8"/>
    <hyperlink r:id="rId7" ref="A10"/>
    <hyperlink r:id="rId8" ref="A11"/>
    <hyperlink r:id="rId9" ref="A12"/>
    <hyperlink r:id="rId10" ref="A13"/>
    <hyperlink r:id="rId11" ref="A14"/>
    <hyperlink r:id="rId12" ref="A15"/>
    <hyperlink r:id="rId13" ref="A16"/>
    <hyperlink r:id="rId14" ref="A17"/>
    <hyperlink r:id="rId15" ref="A18"/>
    <hyperlink r:id="rId16" ref="A19"/>
    <hyperlink r:id="rId17" ref="A21"/>
    <hyperlink r:id="rId18" ref="A22"/>
    <hyperlink r:id="rId19" ref="A24"/>
    <hyperlink r:id="rId20" ref="A31"/>
    <hyperlink r:id="rId21" ref="A32"/>
    <hyperlink r:id="rId22" ref="A33"/>
    <hyperlink r:id="rId23" ref="A37"/>
    <hyperlink r:id="rId24" ref="A41"/>
    <hyperlink r:id="rId25" ref="A43"/>
    <hyperlink r:id="rId26" ref="A44"/>
    <hyperlink r:id="rId27" ref="A45"/>
    <hyperlink r:id="rId28" ref="A46"/>
    <hyperlink r:id="rId29" ref="A47"/>
    <hyperlink r:id="rId30" ref="A51"/>
    <hyperlink r:id="rId31" ref="A53"/>
    <hyperlink r:id="rId32" ref="A58"/>
    <hyperlink r:id="rId33" ref="A59"/>
    <hyperlink r:id="rId34" ref="A61"/>
    <hyperlink r:id="rId35" ref="A62"/>
    <hyperlink r:id="rId36" ref="A63"/>
    <hyperlink r:id="rId37" ref="A64"/>
    <hyperlink r:id="rId38" ref="A65"/>
    <hyperlink r:id="rId39" ref="A66"/>
    <hyperlink r:id="rId40" ref="A67"/>
    <hyperlink r:id="rId41" ref="A72"/>
  </hyperlinks>
  <printOptions gridLines="1" horizontalCentered="1"/>
  <pageMargins bottom="0.75" footer="0.0" header="0.0" left="0.7" right="0.7" top="0.75"/>
  <pageSetup fitToHeight="0" cellComments="atEnd" orientation="landscape" pageOrder="overThenDown"/>
  <drawing r:id="rId4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3" t="s">
        <v>209</v>
      </c>
    </row>
    <row r="3">
      <c r="A3" s="24" t="s">
        <v>210</v>
      </c>
    </row>
  </sheetData>
  <hyperlinks>
    <hyperlink r:id="rId1" ref="A1"/>
    <hyperlink r:id="rId2" ref="A3"/>
  </hyperlinks>
  <drawing r:id="rId3"/>
</worksheet>
</file>